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xavil\Documents\Session 4\Cours\Applications Web\TP\trpr01_fichiers\"/>
    </mc:Choice>
  </mc:AlternateContent>
  <xr:revisionPtr revIDLastSave="0" documentId="13_ncr:1_{83A69E79-590C-4F34-9007-536025C2AF3E}" xr6:coauthVersionLast="47" xr6:coauthVersionMax="47" xr10:uidLastSave="{00000000-0000-0000-0000-000000000000}"/>
  <bookViews>
    <workbookView xWindow="-108" yWindow="-108" windowWidth="23256" windowHeight="12456" tabRatio="500" activeTab="1" xr2:uid="{00000000-000D-0000-FFFF-FFFF00000000}"/>
  </bookViews>
  <sheets>
    <sheet name="grille_evaluation_V1" sheetId="1" r:id="rId1"/>
    <sheet name="grille_evaluation_V2" sheetId="8" r:id="rId2"/>
    <sheet name="echelles" sheetId="2" r:id="rId3"/>
    <sheet name="etudiants" sheetId="6" r:id="rId4"/>
    <sheet name="definitions" sheetId="7" r:id="rId5"/>
  </sheets>
  <definedNames>
    <definedName name="date_evaluation" localSheetId="1">grille_evaluation_V2!$B$23</definedName>
    <definedName name="date_evaluation">grille_evaluation_V1!$B$21</definedName>
    <definedName name="nb_points" localSheetId="1">grille_evaluation_V2!$D$17</definedName>
    <definedName name="nb_points">grille_evaluation_V1!$D$15</definedName>
    <definedName name="niveau_reussite" localSheetId="1">grille_evaluation_V2!$B$24</definedName>
    <definedName name="niveau_reussite">grille_evaluation_V1!$B$22</definedName>
    <definedName name="nom_enseignant" localSheetId="1">grille_evaluation_V2!$B$18</definedName>
    <definedName name="nom_enseignant">grille_evaluation_V1!$B$16</definedName>
    <definedName name="nom_etudiant" localSheetId="1">grille_evaluation_V2!$B$17</definedName>
    <definedName name="nom_etudiant">grille_evaluation_V1!$B$15</definedName>
    <definedName name="nom_evaluation" localSheetId="1">grille_evaluation_V2!$B$20</definedName>
    <definedName name="nom_evaluation">grille_evaluation_V1!$B$18</definedName>
    <definedName name="note_finale" localSheetId="1">grille_evaluation_V2!$E$24</definedName>
    <definedName name="note_finale">grille_evaluation_V1!$E$22</definedName>
    <definedName name="pts_francais" localSheetId="1">grille_evaluation_V2!$D$23</definedName>
    <definedName name="pts_francais">grille_evaluation_V1!$D$21</definedName>
    <definedName name="pts_grandtotal" localSheetId="1">grille_evaluation_V2!$D$24</definedName>
    <definedName name="pts_grandtotal">grille_evaluation_V1!$D$22</definedName>
    <definedName name="pts_maximum" localSheetId="1">grille_evaluation_V2!$D$17</definedName>
    <definedName name="pts_maximum">grille_evaluation_V1!$D$15</definedName>
    <definedName name="pts_respect" localSheetId="1">grille_evaluation_V2!$D$21</definedName>
    <definedName name="pts_respect">grille_evaluation_V1!$D$19</definedName>
    <definedName name="pts_retard" localSheetId="1">grille_evaluation_V2!$D$22</definedName>
    <definedName name="pts_retard">grille_evaluation_V1!$D$20</definedName>
    <definedName name="pts_soustotal" localSheetId="1">grille_evaluation_V2!$D$20</definedName>
    <definedName name="pts_soustotal">grille_evaluation_V1!$D$18</definedName>
    <definedName name="reussite" localSheetId="1">grille_evaluation_V2!$B$24</definedName>
    <definedName name="reussite">grille_evaluation_V1!$B$22</definedName>
    <definedName name="seuil" localSheetId="1">grille_evaluation_V2!$D$19</definedName>
    <definedName name="seuil">grille_evaluation_V1!$D$17</definedName>
    <definedName name="seuil_excellence" localSheetId="1">grille_evaluation_V2!$D$18</definedName>
    <definedName name="seuil_excellence">grille_evaluation_V1!$D$16</definedName>
    <definedName name="seuil_reussite" localSheetId="1">grille_evaluation_V2!$D$19</definedName>
    <definedName name="seuil_reussite">grille_evaluation_V1!$D$17</definedName>
    <definedName name="tbl_echelle3">#REF!</definedName>
    <definedName name="titre_cours" localSheetId="1">grille_evaluation_V2!$B$19</definedName>
    <definedName name="titre_cours">grille_evaluation_V1!$B$17</definedName>
    <definedName name="type_evaluation" localSheetId="1">grille_evaluation_V2!$B$22</definedName>
    <definedName name="type_evaluation">grille_evaluation_V1!$B$20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 i="8" l="1"/>
  <c r="D20" i="8"/>
  <c r="D16" i="8"/>
  <c r="D15" i="8"/>
  <c r="D2" i="8"/>
  <c r="D4" i="8"/>
  <c r="D5" i="8"/>
  <c r="D6" i="8"/>
  <c r="D7" i="8"/>
  <c r="D8" i="8"/>
  <c r="D9" i="8"/>
  <c r="D10" i="8"/>
  <c r="D11" i="8"/>
  <c r="D12" i="8"/>
  <c r="D13" i="8"/>
  <c r="D14" i="8"/>
  <c r="D24" i="8"/>
  <c r="E24" i="8"/>
  <c r="B24" i="8"/>
  <c r="B23" i="8"/>
  <c r="D11" i="1"/>
  <c r="D12" i="1"/>
  <c r="D13" i="1"/>
  <c r="D14" i="1"/>
  <c r="D10" i="1"/>
  <c r="D7" i="1"/>
  <c r="D8" i="1"/>
  <c r="D9" i="1"/>
  <c r="D2" i="1"/>
  <c r="D3" i="1"/>
  <c r="D4" i="1"/>
  <c r="D5" i="1"/>
  <c r="D6" i="1"/>
  <c r="D18" i="1"/>
  <c r="D22" i="1"/>
  <c r="E22" i="1"/>
  <c r="B22" i="1"/>
  <c r="B21" i="1"/>
</calcChain>
</file>

<file path=xl/sharedStrings.xml><?xml version="1.0" encoding="utf-8"?>
<sst xmlns="http://schemas.openxmlformats.org/spreadsheetml/2006/main" count="146" uniqueCount="109">
  <si>
    <t>Éléments observables</t>
  </si>
  <si>
    <t>Points</t>
  </si>
  <si>
    <t>Commentaires</t>
  </si>
  <si>
    <t>Sous-Total</t>
  </si>
  <si>
    <t>Grand Total</t>
  </si>
  <si>
    <t>Commentaires finaux</t>
  </si>
  <si>
    <t>Nom de l'étudiant</t>
  </si>
  <si>
    <t>Nom de l'enseignant</t>
  </si>
  <si>
    <t>Jimmy Gilbert</t>
  </si>
  <si>
    <t>Nom de l'évaluation</t>
  </si>
  <si>
    <t>Seuil de réussite (en %)</t>
  </si>
  <si>
    <t>Correction français</t>
  </si>
  <si>
    <t>Seuil d'excellence (en %)</t>
  </si>
  <si>
    <t>Moins retard(s)</t>
  </si>
  <si>
    <t>Nombre de points maximum</t>
  </si>
  <si>
    <t>Description de l'échelle descriptive</t>
  </si>
  <si>
    <t>Note</t>
  </si>
  <si>
    <t>Type d'évaluation</t>
  </si>
  <si>
    <t>Sommative</t>
  </si>
  <si>
    <t>Date de l'évaluation</t>
  </si>
  <si>
    <t>Niveau de réussite</t>
  </si>
  <si>
    <t>Critères d'évaluation</t>
  </si>
  <si>
    <t xml:space="preserve">Critères d’évaluation </t>
  </si>
  <si>
    <t>Grille d'évaluation</t>
  </si>
  <si>
    <t>La grille d’évaluation permet de porter un jugement sur la qualité d’une production ou d’un produit, l’accomplissement d’une prestation ou d’un processus qui ne peuvent être jugés tout simplement bons ou mauvais comme dans le cas d’une question à correction objective (Scallon, 2004).</t>
  </si>
  <si>
    <t>Définitions</t>
  </si>
  <si>
    <t>Temes</t>
  </si>
  <si>
    <t>Processus par lequel un sujet est amené à porter un jugement sur la qualité de son cheminement, de son travail ou de ses acquis au regard d’objectifs prédéfinis et tout en s’inspirant de critères précis d’appréciation (Legendre, 2005).</t>
  </si>
  <si>
    <t>Autoévaluation</t>
  </si>
  <si>
    <t>Qualité ou norme qui servent à porter un jugement (Legendre, 2005). 
Point de repère auquel on se réfère pour porter un jugement ou décider de la valeur de l’objet évalué (Legendre, 2005).</t>
  </si>
  <si>
    <t>Dans le présent guide, le terme élément observable est utilisé pour désigner une manifestation concrète d’une réalité; les éléments observables concrétisent les critères d’évaluation. 
Certains auteurs, dont Durand et Chouinard (2006), utilisent plutôt le terme indicateur pour désigner les manifestations observables.</t>
  </si>
  <si>
    <t>Série de portraits décrivant différents niveaux de qualité d’une tâche suivant un continuum de trois à six échelons (Durand et Chouinard, 2006).</t>
  </si>
  <si>
    <t>Échelles descriptives</t>
  </si>
  <si>
    <t>Titre du cours</t>
  </si>
  <si>
    <t>Échelles</t>
  </si>
  <si>
    <t>2 éléments manquants ou mal effectués</t>
  </si>
  <si>
    <t>1 élément manquant ou mal effectué</t>
  </si>
  <si>
    <t>Tout est réussi</t>
  </si>
  <si>
    <t>3 éléments manquants ou mal effectués</t>
  </si>
  <si>
    <t>Votre nom</t>
  </si>
  <si>
    <t xml:space="preserve">Développement d'applications Web </t>
  </si>
  <si>
    <t>Plus de 4 éléments manquant ou mal effectués</t>
  </si>
  <si>
    <t>4 éléments manquants ou mal effectués</t>
  </si>
  <si>
    <t>Session de l'évaluation</t>
  </si>
  <si>
    <t>Respect modalités / consignes</t>
  </si>
  <si>
    <t>Bonnes pratiques de programmation et code propre</t>
  </si>
  <si>
    <t>Plus de 2 éléments manquant ou mal effectués</t>
  </si>
  <si>
    <t>Morato Gomez, Pablo</t>
  </si>
  <si>
    <t>Sylvain, Lucas</t>
  </si>
  <si>
    <t>Hiver 2026</t>
  </si>
  <si>
    <t>Bluteau, Logan</t>
  </si>
  <si>
    <t>Boisvert, Olivier</t>
  </si>
  <si>
    <t>Boucher, Marie-Jade</t>
  </si>
  <si>
    <t>Bowes, Marc-Antoine</t>
  </si>
  <si>
    <t>Brière, Zachary</t>
  </si>
  <si>
    <t>De Grâce, Antony</t>
  </si>
  <si>
    <t>Dufour-Borz, William</t>
  </si>
  <si>
    <t>Gaulin, Arnaud</t>
  </si>
  <si>
    <t>Girard, Raphaël</t>
  </si>
  <si>
    <t>Hamel, Charles</t>
  </si>
  <si>
    <t>Idrissa Adamou, Khaled</t>
  </si>
  <si>
    <t>Langlois, Thomas</t>
  </si>
  <si>
    <t>Lareau, Alexis</t>
  </si>
  <si>
    <t>Lepage, Xavier</t>
  </si>
  <si>
    <t>Ostiguy-Corminboeuf, Sacha</t>
  </si>
  <si>
    <t>Paquin, Jérémie</t>
  </si>
  <si>
    <t>Roy, Gabriel</t>
  </si>
  <si>
    <t>Thériault-Fortin, Damien</t>
  </si>
  <si>
    <t>Trabelsi, Tasnime</t>
  </si>
  <si>
    <t>Planification et découpage (15)</t>
  </si>
  <si>
    <t>Backlog clair et exploitable</t>
  </si>
  <si>
    <t>Découpage en petites tâches</t>
  </si>
  <si>
    <t>Critères d’acceptation</t>
  </si>
  <si>
    <t>Ordre logique</t>
  </si>
  <si>
    <t>Suivi d’avancement</t>
  </si>
  <si>
    <t>Traçabilité Git (5)</t>
  </si>
  <si>
    <t>Architecture et types TypeScript (5)</t>
  </si>
  <si>
    <t>Qualité UI de base (5)</t>
  </si>
  <si>
    <t>Journal et décisions (15)</t>
  </si>
  <si>
    <t>Journal régulier</t>
  </si>
  <si>
    <t>Décisions justifiées</t>
  </si>
  <si>
    <t>Résolution de problèmes</t>
  </si>
  <si>
    <t>Lien avec l’historique</t>
  </si>
  <si>
    <t>Réflexion sur la qualité</t>
  </si>
  <si>
    <t>interactions minimales utilisables, validations de base, états vides traités.</t>
  </si>
  <si>
    <t>bonne structure, types cohérents (ex. Product), composants à responsabilité
unique, logique hors gabarit.</t>
  </si>
  <si>
    <t>commits fréquents, messages descriptifs, évolution lisible</t>
  </si>
  <si>
    <t>Travail pratique 01 Validation 1</t>
  </si>
  <si>
    <t>Travail pratique 01 Validation 2 + Fonctionnement final</t>
  </si>
  <si>
    <t>Gestion de portée et priorisation (5)</t>
  </si>
  <si>
    <t>backlog ajusté (issues, checklist, ou fichier), critères d’acceptation simples,
ordre de priorités visible, notes d’arbitrage dans le journal ou issues, éléments “done”
clairement identifiés.</t>
  </si>
  <si>
    <t>au moins 3 refactors traçables dans l’historique Git,
exemples concrets avant/après, réduction visible de duplication, extraction composable ou service lorsque pertinent, amélioration de nommage et de structure.</t>
  </si>
  <si>
    <t>Contrôle qualité (15)</t>
  </si>
  <si>
    <t>Qualité du code et refactor (5)</t>
  </si>
  <si>
    <t>Utilisation correcte de Vue.js</t>
  </si>
  <si>
    <t>Utilisation correcte de TypeScript</t>
  </si>
  <si>
    <t>Structure du projet</t>
  </si>
  <si>
    <t>Gestion des états</t>
  </si>
  <si>
    <t>Stabilisation et correction (5)</t>
  </si>
  <si>
    <t>Documentation et transparence IA (15)</t>
  </si>
  <si>
    <t>README clair et complet</t>
  </si>
  <si>
    <t>Description fonctionnelle</t>
  </si>
  <si>
    <t>Instructions de démarrage fiables</t>
  </si>
  <si>
    <t>Architecture du projet</t>
  </si>
  <si>
    <t>Transparence IA</t>
  </si>
  <si>
    <t>Fonctionnement final (10)</t>
  </si>
  <si>
    <t>Smoke test fonctionnalités essentielles</t>
  </si>
  <si>
    <t>Déploiement accessible</t>
  </si>
  <si>
    <t>issues de bugs avec reproduction, commits dédiés aux fix,
notes de validation après correction, absence d’erreurs console bloquantes lors
d’un smoke test, scénarios corrigés démontrables.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</si>
</sst>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1" x14ac:knownFonts="1">
    <font>
      <sz val="12"/>
      <color theme="1"/>
      <name val="Calibri"/>
      <family val="2"/>
      <scheme val="minor"/>
    </font>
    <font>
      <b/>
      <sz val="15"/>
      <color theme="3"/>
      <name val="Calibri"/>
      <family val="2"/>
      <scheme val="minor"/>
    </font>
    <font>
      <b/>
      <sz val="12"/>
      <color theme="1"/>
      <name val="Calibri"/>
      <family val="2"/>
      <scheme val="minor"/>
    </font>
    <font>
      <sz val="8"/>
      <name val="Calibri"/>
      <family val="2"/>
      <scheme val="minor"/>
    </font>
    <font>
      <sz val="11"/>
      <color rgb="FF006100"/>
      <name val="Calibri"/>
      <family val="2"/>
      <scheme val="minor"/>
    </font>
    <font>
      <sz val="12"/>
      <color theme="1"/>
      <name val="Calibri"/>
      <family val="2"/>
      <scheme val="minor"/>
    </font>
    <font>
      <b/>
      <sz val="15"/>
      <color theme="0"/>
      <name val="Calibri"/>
      <family val="2"/>
      <scheme val="minor"/>
    </font>
    <font>
      <b/>
      <sz val="12"/>
      <color theme="0"/>
      <name val="Calibri"/>
      <family val="2"/>
      <scheme val="minor"/>
    </font>
    <font>
      <sz val="12"/>
      <color theme="0"/>
      <name val="Calibri"/>
      <family val="2"/>
      <scheme val="minor"/>
    </font>
    <font>
      <b/>
      <i/>
      <sz val="12"/>
      <name val="Calibri"/>
      <family val="2"/>
      <scheme val="minor"/>
    </font>
    <font>
      <sz val="12"/>
      <name val="Calibri"/>
      <family val="2"/>
      <scheme val="minor"/>
    </font>
  </fonts>
  <fills count="13">
    <fill>
      <patternFill patternType="none"/>
    </fill>
    <fill>
      <patternFill patternType="gray125"/>
    </fill>
    <fill>
      <patternFill patternType="solid">
        <fgColor rgb="FFC6EFCE"/>
      </patternFill>
    </fill>
    <fill>
      <patternFill patternType="solid">
        <fgColor theme="8" tint="0.79998168889431442"/>
        <bgColor indexed="64"/>
      </patternFill>
    </fill>
    <fill>
      <patternFill patternType="solid">
        <fgColor theme="8" tint="0.39997558519241921"/>
        <bgColor indexed="64"/>
      </patternFill>
    </fill>
    <fill>
      <patternFill patternType="solid">
        <fgColor theme="0"/>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s>
  <borders count="17">
    <border>
      <left/>
      <right/>
      <top/>
      <bottom/>
      <diagonal/>
    </border>
    <border>
      <left/>
      <right/>
      <top/>
      <bottom style="thick">
        <color theme="4"/>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bottom/>
      <diagonal/>
    </border>
    <border>
      <left style="medium">
        <color auto="1"/>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bottom style="medium">
        <color auto="1"/>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style="medium">
        <color indexed="64"/>
      </bottom>
      <diagonal/>
    </border>
  </borders>
  <cellStyleXfs count="3">
    <xf numFmtId="0" fontId="0" fillId="0" borderId="0"/>
    <xf numFmtId="0" fontId="1" fillId="0" borderId="1" applyNumberFormat="0" applyFill="0" applyAlignment="0" applyProtection="0"/>
    <xf numFmtId="0" fontId="4" fillId="2" borderId="0" applyNumberFormat="0" applyBorder="0" applyAlignment="0" applyProtection="0"/>
  </cellStyleXfs>
  <cellXfs count="60">
    <xf numFmtId="0" fontId="0" fillId="0" borderId="0" xfId="0"/>
    <xf numFmtId="0" fontId="5" fillId="0" borderId="0" xfId="0" applyFont="1" applyAlignment="1">
      <alignment horizontal="center"/>
    </xf>
    <xf numFmtId="0" fontId="5" fillId="0" borderId="0" xfId="0" applyFont="1"/>
    <xf numFmtId="0" fontId="0" fillId="0" borderId="0" xfId="0" applyAlignment="1">
      <alignment horizontal="center"/>
    </xf>
    <xf numFmtId="0" fontId="7" fillId="6" borderId="10" xfId="0" applyFont="1" applyFill="1" applyBorder="1" applyAlignment="1">
      <alignment horizontal="center" vertical="top"/>
    </xf>
    <xf numFmtId="0" fontId="5" fillId="0" borderId="11" xfId="0" applyFont="1" applyBorder="1" applyAlignment="1">
      <alignment horizontal="center" vertical="top"/>
    </xf>
    <xf numFmtId="0" fontId="0" fillId="0" borderId="5" xfId="0" applyBorder="1" applyAlignment="1">
      <alignment horizontal="center" vertical="top"/>
    </xf>
    <xf numFmtId="0" fontId="5" fillId="0" borderId="5" xfId="0" applyFont="1" applyBorder="1" applyAlignment="1">
      <alignment horizontal="center" vertical="top"/>
    </xf>
    <xf numFmtId="0" fontId="6" fillId="0" borderId="10" xfId="1" applyFont="1" applyBorder="1" applyAlignment="1">
      <alignment horizontal="center" vertical="top"/>
    </xf>
    <xf numFmtId="0" fontId="6" fillId="0" borderId="12" xfId="1" applyFont="1" applyBorder="1" applyAlignment="1">
      <alignment horizontal="center" vertical="top"/>
    </xf>
    <xf numFmtId="0" fontId="0" fillId="0" borderId="4" xfId="0" applyBorder="1" applyAlignment="1">
      <alignment vertical="top" wrapText="1"/>
    </xf>
    <xf numFmtId="0" fontId="2" fillId="9" borderId="8" xfId="0" applyFont="1" applyFill="1" applyBorder="1" applyAlignment="1">
      <alignment horizontal="right" vertical="top"/>
    </xf>
    <xf numFmtId="0" fontId="2" fillId="9" borderId="0" xfId="0" applyFont="1" applyFill="1" applyAlignment="1">
      <alignment horizontal="right" vertical="top"/>
    </xf>
    <xf numFmtId="0" fontId="2" fillId="9" borderId="6" xfId="0" applyFont="1" applyFill="1" applyBorder="1" applyAlignment="1">
      <alignment horizontal="right" vertical="top"/>
    </xf>
    <xf numFmtId="9" fontId="9" fillId="4" borderId="3" xfId="0" applyNumberFormat="1" applyFont="1" applyFill="1" applyBorder="1" applyAlignment="1">
      <alignment horizontal="center" vertical="top"/>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2" fillId="0" borderId="0" xfId="0" applyFont="1" applyAlignment="1">
      <alignment horizontal="center" vertical="top"/>
    </xf>
    <xf numFmtId="0" fontId="5" fillId="0" borderId="9" xfId="0" applyFont="1" applyBorder="1" applyAlignment="1">
      <alignment vertical="top" wrapText="1"/>
    </xf>
    <xf numFmtId="9" fontId="7" fillId="7" borderId="11" xfId="0" applyNumberFormat="1" applyFont="1" applyFill="1" applyBorder="1" applyAlignment="1">
      <alignment horizontal="center" vertical="top"/>
    </xf>
    <xf numFmtId="9" fontId="8" fillId="8" borderId="13" xfId="0" applyNumberFormat="1" applyFont="1" applyFill="1" applyBorder="1" applyAlignment="1">
      <alignment horizontal="center" vertical="top"/>
    </xf>
    <xf numFmtId="0" fontId="0" fillId="4" borderId="11" xfId="0" applyFill="1" applyBorder="1" applyAlignment="1">
      <alignment horizontal="center" vertical="top"/>
    </xf>
    <xf numFmtId="0" fontId="0" fillId="0" borderId="7" xfId="0" applyBorder="1" applyAlignment="1">
      <alignment vertical="top" wrapText="1"/>
    </xf>
    <xf numFmtId="0" fontId="0" fillId="0" borderId="0" xfId="0" applyAlignment="1">
      <alignment vertical="top"/>
    </xf>
    <xf numFmtId="0" fontId="5" fillId="0" borderId="9" xfId="0" applyFont="1" applyBorder="1" applyAlignment="1">
      <alignment horizontal="center" vertical="top"/>
    </xf>
    <xf numFmtId="0" fontId="0" fillId="0" borderId="14"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5" xfId="0" applyBorder="1" applyAlignment="1">
      <alignment vertical="top" wrapText="1"/>
    </xf>
    <xf numFmtId="0" fontId="6" fillId="0" borderId="14" xfId="1" applyFont="1" applyBorder="1" applyAlignment="1">
      <alignment horizontal="center" vertical="top"/>
    </xf>
    <xf numFmtId="0" fontId="6" fillId="0" borderId="7" xfId="1" applyFont="1" applyBorder="1" applyAlignment="1">
      <alignment horizontal="center" vertical="top"/>
    </xf>
    <xf numFmtId="0" fontId="10" fillId="5" borderId="5" xfId="0" applyFont="1" applyFill="1" applyBorder="1" applyAlignment="1">
      <alignment horizontal="center" vertical="top"/>
    </xf>
    <xf numFmtId="0" fontId="0" fillId="0" borderId="5" xfId="0" applyBorder="1" applyAlignment="1">
      <alignment vertical="top"/>
    </xf>
    <xf numFmtId="0" fontId="7" fillId="12" borderId="3" xfId="0" applyFont="1" applyFill="1" applyBorder="1" applyAlignment="1">
      <alignment horizontal="center" vertical="top" wrapText="1"/>
    </xf>
    <xf numFmtId="0" fontId="2" fillId="11" borderId="16" xfId="0" applyFont="1" applyFill="1" applyBorder="1" applyAlignment="1">
      <alignment horizontal="right" vertical="top"/>
    </xf>
    <xf numFmtId="0" fontId="2" fillId="10" borderId="6" xfId="0" applyFont="1" applyFill="1" applyBorder="1" applyAlignment="1">
      <alignment horizontal="right" vertical="top"/>
    </xf>
    <xf numFmtId="0" fontId="5" fillId="0" borderId="4" xfId="0" applyFont="1" applyBorder="1" applyAlignment="1">
      <alignment horizontal="center" vertical="top"/>
    </xf>
    <xf numFmtId="0" fontId="0" fillId="0" borderId="4" xfId="0" applyBorder="1" applyAlignment="1">
      <alignment horizontal="center" vertical="top"/>
    </xf>
    <xf numFmtId="164" fontId="5" fillId="0" borderId="4" xfId="0" applyNumberFormat="1" applyFont="1" applyBorder="1" applyAlignment="1">
      <alignment horizontal="center" vertical="top" wrapText="1"/>
    </xf>
    <xf numFmtId="0" fontId="4" fillId="5" borderId="15" xfId="2" applyFill="1" applyBorder="1" applyAlignment="1">
      <alignment horizontal="center" vertical="top" wrapText="1"/>
    </xf>
    <xf numFmtId="0" fontId="2" fillId="3" borderId="14" xfId="0" applyFont="1" applyFill="1" applyBorder="1" applyAlignment="1">
      <alignment horizontal="left"/>
    </xf>
    <xf numFmtId="0" fontId="2" fillId="3" borderId="2" xfId="0" applyFont="1" applyFill="1" applyBorder="1" applyAlignment="1">
      <alignment horizontal="left"/>
    </xf>
    <xf numFmtId="0" fontId="2" fillId="3" borderId="3" xfId="0" applyFont="1" applyFill="1" applyBorder="1" applyAlignment="1">
      <alignment horizontal="left"/>
    </xf>
    <xf numFmtId="0" fontId="5" fillId="0" borderId="12" xfId="0" applyFont="1" applyBorder="1" applyAlignment="1">
      <alignment horizontal="center" vertical="top"/>
    </xf>
    <xf numFmtId="0" fontId="0" fillId="0" borderId="4" xfId="0" applyBorder="1" applyAlignment="1">
      <alignment vertical="top"/>
    </xf>
    <xf numFmtId="0" fontId="0" fillId="0" borderId="2" xfId="0" applyBorder="1" applyAlignment="1">
      <alignment vertical="top" wrapText="1"/>
    </xf>
    <xf numFmtId="0" fontId="0" fillId="0" borderId="10" xfId="0" applyBorder="1" applyAlignment="1">
      <alignment horizontal="left" vertical="top"/>
    </xf>
    <xf numFmtId="0" fontId="0" fillId="0" borderId="11" xfId="0" applyBorder="1" applyAlignment="1">
      <alignment vertical="top" wrapText="1"/>
    </xf>
    <xf numFmtId="0" fontId="0" fillId="0" borderId="10" xfId="0" applyBorder="1" applyAlignment="1">
      <alignment vertical="top"/>
    </xf>
    <xf numFmtId="0" fontId="0" fillId="0" borderId="9" xfId="0" applyBorder="1" applyAlignment="1">
      <alignment vertical="top" wrapText="1"/>
    </xf>
    <xf numFmtId="0" fontId="0" fillId="0" borderId="10" xfId="0" applyBorder="1" applyAlignment="1">
      <alignment vertical="top" wrapText="1"/>
    </xf>
    <xf numFmtId="0" fontId="0" fillId="3" borderId="4" xfId="0" applyFill="1" applyBorder="1" applyAlignment="1">
      <alignment vertical="top"/>
    </xf>
    <xf numFmtId="0" fontId="0" fillId="3" borderId="4" xfId="0" applyFill="1" applyBorder="1" applyAlignment="1">
      <alignment vertical="top" wrapText="1"/>
    </xf>
    <xf numFmtId="0" fontId="0" fillId="3" borderId="3" xfId="0" applyFill="1" applyBorder="1" applyAlignment="1">
      <alignment horizontal="left" vertical="top"/>
    </xf>
    <xf numFmtId="0" fontId="5" fillId="3" borderId="15" xfId="0" applyFont="1" applyFill="1" applyBorder="1" applyAlignment="1">
      <alignment horizontal="center" vertical="top"/>
    </xf>
    <xf numFmtId="0" fontId="5" fillId="0" borderId="1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cellXfs>
  <cellStyles count="3">
    <cellStyle name="Good" xfId="2" builtinId="26"/>
    <cellStyle name="Heading 1" xfId="1" builtinId="16"/>
    <cellStyle name="Normal" xfId="0" builtinId="0"/>
  </cellStyles>
  <dxfs count="28">
    <dxf>
      <alignment horizontal="left" vertical="top" textRotation="0" wrapText="1" indent="0" justifyLastLine="0" shrinkToFit="0" readingOrder="0"/>
    </dxf>
    <dxf>
      <font>
        <b/>
        <family val="2"/>
      </font>
      <alignment horizontal="center" vertical="top" textRotation="0" wrapText="0" indent="0" justifyLastLine="0" shrinkToFit="0" readingOrder="0"/>
    </dxf>
    <dxf>
      <alignment horizontal="center" vertical="top"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0"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border diagonalUp="0" diagonalDown="0" outline="0">
        <left style="medium">
          <color auto="1"/>
        </left>
        <right style="medium">
          <color auto="1"/>
        </right>
        <top/>
        <bottom/>
      </border>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border diagonalUp="0" diagonalDown="0" outline="0">
        <left/>
        <right style="medium">
          <color indexed="64"/>
        </right>
        <top/>
        <bottom/>
      </border>
    </dxf>
    <dxf>
      <border outline="0">
        <left style="medium">
          <color auto="1"/>
        </left>
        <right style="medium">
          <color auto="1"/>
        </right>
        <top style="medium">
          <color auto="1"/>
        </top>
        <bottom style="medium">
          <color auto="1"/>
        </bottom>
      </border>
    </dxf>
    <dxf>
      <font>
        <b val="0"/>
        <i val="0"/>
        <strike val="0"/>
        <condense val="0"/>
        <extend val="0"/>
        <outline val="0"/>
        <shadow val="0"/>
        <u val="none"/>
        <vertAlign val="baseline"/>
        <sz val="12"/>
        <color rgb="FF000000"/>
        <name val="Calibri"/>
        <family val="2"/>
        <scheme val="none"/>
      </font>
      <alignment horizontal="general" vertical="top" textRotation="0" wrapText="0" indent="0" justifyLastLine="0" shrinkToFit="0" readingOrder="0"/>
    </dxf>
    <dxf>
      <border>
        <bottom style="medium">
          <color rgb="FF000000"/>
        </bottom>
      </border>
    </dxf>
    <dxf>
      <font>
        <b/>
        <i val="0"/>
        <strike val="0"/>
        <condense val="0"/>
        <extend val="0"/>
        <outline val="0"/>
        <shadow val="0"/>
        <u val="none"/>
        <vertAlign val="baseline"/>
        <sz val="15"/>
        <color theme="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0"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border diagonalUp="0" diagonalDown="0" outline="0">
        <left style="medium">
          <color auto="1"/>
        </left>
        <right style="medium">
          <color auto="1"/>
        </right>
        <top/>
        <bottom/>
      </border>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border diagonalUp="0" diagonalDown="0" outline="0">
        <left/>
        <right style="medium">
          <color indexed="64"/>
        </right>
        <top/>
        <bottom/>
      </border>
    </dxf>
    <dxf>
      <border outline="0">
        <left style="medium">
          <color auto="1"/>
        </left>
        <right style="medium">
          <color auto="1"/>
        </right>
        <top style="medium">
          <color auto="1"/>
        </top>
        <bottom style="medium">
          <color auto="1"/>
        </bottom>
      </border>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dxf>
    <dxf>
      <border>
        <bottom style="medium">
          <color indexed="64"/>
        </bottom>
      </border>
    </dxf>
    <dxf>
      <font>
        <b/>
        <i val="0"/>
        <strike val="0"/>
        <condense val="0"/>
        <extend val="0"/>
        <outline val="0"/>
        <shadow val="0"/>
        <u val="none"/>
        <vertAlign val="baseline"/>
        <sz val="15"/>
        <color theme="0"/>
        <name val="Calibri"/>
        <family val="2"/>
        <scheme val="minor"/>
      </font>
      <alignment horizontal="center" vertical="top" textRotation="0" wrapText="0" indent="0" justifyLastLine="0" shrinkToFit="0" readingOrder="0"/>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_grille" displayName="tbl_grille" ref="A1:E14" totalsRowShown="0" headerRowDxfId="27" dataDxfId="25" headerRowBorderDxfId="26" tableBorderDxfId="24">
  <autoFilter ref="A1:E14" xr:uid="{21531910-BD78-4443-9EAB-35411D648924}"/>
  <tableColumns count="5">
    <tableColumn id="1" xr3:uid="{00000000-0010-0000-0000-000001000000}" name="Critères d'évaluation" dataDxfId="23"/>
    <tableColumn id="2" xr3:uid="{00000000-0010-0000-0000-000002000000}" name="Éléments observables" dataDxfId="22"/>
    <tableColumn id="3" xr3:uid="{00000000-0010-0000-0000-000003000000}" name="Échelles" dataDxfId="21"/>
    <tableColumn id="9" xr3:uid="{00000000-0010-0000-0000-000009000000}" name="Points" dataDxfId="20">
      <calculatedColumnFormula>VLOOKUP(C2,echelles!#REF!,2,FALSE)</calculatedColumnFormula>
    </tableColumn>
    <tableColumn id="10" xr3:uid="{00000000-0010-0000-0000-00000A000000}" name="Commentaires" dataDxfId="19"/>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D5CB5D-B031-4CBB-B80E-8B841CA0E22C}" name="tbl_grille5" displayName="tbl_grille5" ref="A1:E14" totalsRowShown="0" headerRowDxfId="18" dataDxfId="16" headerRowBorderDxfId="17" tableBorderDxfId="15">
  <autoFilter ref="A1:E14" xr:uid="{21531910-BD78-4443-9EAB-35411D648924}"/>
  <tableColumns count="5">
    <tableColumn id="1" xr3:uid="{217688BE-B05A-408B-9D13-8DC736B4217C}" name="Critères d'évaluation" dataDxfId="14"/>
    <tableColumn id="2" xr3:uid="{6BCF26C4-CDAD-41AC-9EC6-C8AAB7C47993}" name="Éléments observables" dataDxfId="13"/>
    <tableColumn id="3" xr3:uid="{4E834EEA-2C13-4F48-B077-B4F09F394941}" name="Échelles" dataDxfId="12"/>
    <tableColumn id="9" xr3:uid="{E1943B02-AD85-4AB8-8665-8F27C7D4D165}" name="Points" dataDxfId="11">
      <calculatedColumnFormula>VLOOKUP(C2,echelles!#REF!,2,FALSE)</calculatedColumnFormula>
    </tableColumn>
    <tableColumn id="10" xr3:uid="{CBCB1B76-272B-4EB6-8E0A-D44940022134}" name="Commentaires" dataDxfId="1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_echelle1" displayName="tbl_echelle1" ref="A1:B5" totalsRowShown="0" tableBorderDxfId="9">
  <autoFilter ref="A1:B5" xr:uid="{00000000-0009-0000-0100-000001000000}"/>
  <tableColumns count="2">
    <tableColumn id="1" xr3:uid="{00000000-0010-0000-0100-000001000000}" name="Description de l'échelle descriptive" dataDxfId="8"/>
    <tableColumn id="2" xr3:uid="{00000000-0010-0000-0100-000002000000}" name="Note"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04DC75-72E4-4766-90CD-14DA27F9B89C}" name="tbl_echelle13" displayName="tbl_echelle13" ref="A7:B13" totalsRowShown="0" tableBorderDxfId="6">
  <autoFilter ref="A7:B13" xr:uid="{5A04DC75-72E4-4766-90CD-14DA27F9B89C}"/>
  <tableColumns count="2">
    <tableColumn id="1" xr3:uid="{1DBA34F8-3F54-4FD9-B8D9-7419A021EB86}" name="Description de l'échelle descriptive" dataDxfId="5"/>
    <tableColumn id="2" xr3:uid="{C0127D84-699E-459B-8586-687D12294C4C}" name="Note"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bl_etudiants" displayName="tbl_etudiants" ref="A1:A23" totalsRowShown="0" tableBorderDxfId="3">
  <autoFilter ref="A1:A23" xr:uid="{00000000-0009-0000-0100-000006000000}"/>
  <tableColumns count="1">
    <tableColumn id="1" xr3:uid="{00000000-0010-0000-0300-000001000000}" name="Nom de l'étudiant"/>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bl_definitions" displayName="tbl_definitions" ref="A1:B6" totalsRowShown="0" headerRowDxfId="2">
  <autoFilter ref="A1:B6" xr:uid="{00000000-0009-0000-0100-000007000000}"/>
  <tableColumns count="2">
    <tableColumn id="1" xr3:uid="{00000000-0010-0000-0400-000001000000}" name="Temes" dataDxfId="1"/>
    <tableColumn id="2" xr3:uid="{00000000-0010-0000-0400-000002000000}" name="Définitions" dataDxfId="0"/>
  </tableColumns>
  <tableStyleInfo name="TableStyleMedium1" showFirstColumn="0" showLastColumn="0" showRowStripes="1" showColumnStripes="0"/>
</table>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showRuler="0" zoomScaleNormal="100" workbookViewId="0">
      <pane ySplit="1" topLeftCell="A2" activePane="bottomLeft" state="frozen"/>
      <selection pane="bottomLeft" activeCell="A2" sqref="A2:XFD2"/>
    </sheetView>
  </sheetViews>
  <sheetFormatPr defaultColWidth="11" defaultRowHeight="15.6" x14ac:dyDescent="0.3"/>
  <cols>
    <col min="1" max="1" width="44.3984375" style="2" customWidth="1"/>
    <col min="2" max="2" width="66.3984375" style="2" customWidth="1"/>
    <col min="3" max="3" width="30.5" style="2" customWidth="1"/>
    <col min="4" max="4" width="8.5" style="1" customWidth="1"/>
    <col min="5" max="5" width="35.09765625" style="2" customWidth="1"/>
    <col min="6" max="16384" width="11" style="2"/>
  </cols>
  <sheetData>
    <row r="1" spans="1:5" s="1" customFormat="1" ht="20.399999999999999" thickBot="1" x14ac:dyDescent="0.35">
      <c r="A1" s="8" t="s">
        <v>21</v>
      </c>
      <c r="B1" s="31" t="s">
        <v>0</v>
      </c>
      <c r="C1" s="32" t="s">
        <v>34</v>
      </c>
      <c r="D1" s="8" t="s">
        <v>1</v>
      </c>
      <c r="E1" s="9" t="s">
        <v>2</v>
      </c>
    </row>
    <row r="2" spans="1:5" ht="18" customHeight="1" thickBot="1" x14ac:dyDescent="0.35">
      <c r="A2" s="24" t="s">
        <v>69</v>
      </c>
      <c r="B2" s="24" t="s">
        <v>70</v>
      </c>
      <c r="C2" s="27" t="s">
        <v>37</v>
      </c>
      <c r="D2" s="26">
        <f>VLOOKUP(C2,echelles!$A$2:$B$5,2,FALSE)</f>
        <v>3</v>
      </c>
      <c r="E2" s="20"/>
    </row>
    <row r="3" spans="1:5" ht="18" customHeight="1" thickBot="1" x14ac:dyDescent="0.35">
      <c r="A3" s="25"/>
      <c r="B3" s="30" t="s">
        <v>71</v>
      </c>
      <c r="C3" s="28"/>
      <c r="D3" s="26" t="e">
        <f>VLOOKUP(C3,echelles!$A$2:$B$5,2,FALSE)</f>
        <v>#N/A</v>
      </c>
      <c r="E3" s="10"/>
    </row>
    <row r="4" spans="1:5" ht="18" customHeight="1" thickBot="1" x14ac:dyDescent="0.35">
      <c r="A4" s="25"/>
      <c r="B4" s="30" t="s">
        <v>72</v>
      </c>
      <c r="C4" s="28"/>
      <c r="D4" s="26" t="e">
        <f>VLOOKUP(C4,echelles!$A$2:$B$5,2,FALSE)</f>
        <v>#N/A</v>
      </c>
      <c r="E4" s="10"/>
    </row>
    <row r="5" spans="1:5" ht="18" customHeight="1" thickBot="1" x14ac:dyDescent="0.35">
      <c r="A5" s="25"/>
      <c r="B5" s="30" t="s">
        <v>73</v>
      </c>
      <c r="C5" s="28"/>
      <c r="D5" s="26" t="e">
        <f>VLOOKUP(C5,echelles!$A$2:$B$5,2,FALSE)</f>
        <v>#N/A</v>
      </c>
      <c r="E5" s="10"/>
    </row>
    <row r="6" spans="1:5" ht="18" customHeight="1" thickBot="1" x14ac:dyDescent="0.35">
      <c r="A6" s="25"/>
      <c r="B6" s="30" t="s">
        <v>74</v>
      </c>
      <c r="C6" s="29"/>
      <c r="D6" s="26" t="e">
        <f>VLOOKUP(C6,echelles!$A$2:$B$5,2,FALSE)</f>
        <v>#N/A</v>
      </c>
      <c r="E6" s="10"/>
    </row>
    <row r="7" spans="1:5" ht="20.25" customHeight="1" thickBot="1" x14ac:dyDescent="0.35">
      <c r="A7" s="49" t="s">
        <v>75</v>
      </c>
      <c r="B7" s="49" t="s">
        <v>86</v>
      </c>
      <c r="C7" s="48"/>
      <c r="D7" s="45" t="e">
        <f>VLOOKUP(C7,echelles!$A$8:$B$13,2,FALSE)</f>
        <v>#N/A</v>
      </c>
      <c r="E7" s="20"/>
    </row>
    <row r="8" spans="1:5" ht="20.25" customHeight="1" thickBot="1" x14ac:dyDescent="0.35">
      <c r="A8" s="50" t="s">
        <v>76</v>
      </c>
      <c r="B8" s="49" t="s">
        <v>85</v>
      </c>
      <c r="C8" s="48"/>
      <c r="D8" s="45" t="e">
        <f>VLOOKUP(C8,echelles!$A$8:$B$13,2,FALSE)</f>
        <v>#N/A</v>
      </c>
      <c r="E8" s="10"/>
    </row>
    <row r="9" spans="1:5" ht="20.25" customHeight="1" thickBot="1" x14ac:dyDescent="0.35">
      <c r="A9" s="50" t="s">
        <v>77</v>
      </c>
      <c r="B9" s="49" t="s">
        <v>84</v>
      </c>
      <c r="C9" s="48"/>
      <c r="D9" s="45" t="e">
        <f>VLOOKUP(C9,echelles!$A$8:$B$13,2,FALSE)</f>
        <v>#N/A</v>
      </c>
      <c r="E9" s="10"/>
    </row>
    <row r="10" spans="1:5" ht="16.2" thickBot="1" x14ac:dyDescent="0.35">
      <c r="A10" s="24" t="s">
        <v>78</v>
      </c>
      <c r="B10" s="24" t="s">
        <v>79</v>
      </c>
      <c r="C10" s="27"/>
      <c r="D10" s="26" t="e">
        <f>VLOOKUP(C10,echelles!$A$2:$B$5,2,FALSE)</f>
        <v>#N/A</v>
      </c>
      <c r="E10" s="10"/>
    </row>
    <row r="11" spans="1:5" ht="16.2" thickBot="1" x14ac:dyDescent="0.35">
      <c r="A11" s="46"/>
      <c r="B11" s="30" t="s">
        <v>80</v>
      </c>
      <c r="C11" s="28"/>
      <c r="D11" s="26" t="e">
        <f>VLOOKUP(C11,echelles!$A$2:$B$5,2,FALSE)</f>
        <v>#N/A</v>
      </c>
      <c r="E11" s="10"/>
    </row>
    <row r="12" spans="1:5" ht="16.2" thickBot="1" x14ac:dyDescent="0.35">
      <c r="A12" s="46"/>
      <c r="B12" s="30" t="s">
        <v>81</v>
      </c>
      <c r="C12" s="28"/>
      <c r="D12" s="26" t="e">
        <f>VLOOKUP(C12,echelles!$A$2:$B$5,2,FALSE)</f>
        <v>#N/A</v>
      </c>
      <c r="E12" s="10"/>
    </row>
    <row r="13" spans="1:5" ht="16.2" thickBot="1" x14ac:dyDescent="0.35">
      <c r="A13" s="46"/>
      <c r="B13" s="30" t="s">
        <v>82</v>
      </c>
      <c r="C13" s="28"/>
      <c r="D13" s="26" t="e">
        <f>VLOOKUP(C13,echelles!$A$2:$B$5,2,FALSE)</f>
        <v>#N/A</v>
      </c>
      <c r="E13" s="10"/>
    </row>
    <row r="14" spans="1:5" ht="16.2" thickBot="1" x14ac:dyDescent="0.35">
      <c r="A14" s="34"/>
      <c r="B14" s="30" t="s">
        <v>83</v>
      </c>
      <c r="C14" s="29"/>
      <c r="D14" s="26" t="e">
        <f>VLOOKUP(C14,echelles!$A$2:$B$5,2,FALSE)</f>
        <v>#N/A</v>
      </c>
      <c r="E14" s="10"/>
    </row>
    <row r="15" spans="1:5" ht="16.2" thickBot="1" x14ac:dyDescent="0.35">
      <c r="A15" s="42" t="s">
        <v>6</v>
      </c>
      <c r="B15" s="26" t="s">
        <v>39</v>
      </c>
      <c r="C15" s="13" t="s">
        <v>14</v>
      </c>
      <c r="D15" s="5">
        <v>45</v>
      </c>
      <c r="E15" s="35" t="s">
        <v>5</v>
      </c>
    </row>
    <row r="16" spans="1:5" ht="16.2" thickBot="1" x14ac:dyDescent="0.35">
      <c r="A16" s="43" t="s">
        <v>7</v>
      </c>
      <c r="B16" s="38" t="s">
        <v>8</v>
      </c>
      <c r="C16" s="36" t="s">
        <v>12</v>
      </c>
      <c r="D16" s="21">
        <v>0.9</v>
      </c>
      <c r="E16" s="57"/>
    </row>
    <row r="17" spans="1:5" ht="16.2" thickBot="1" x14ac:dyDescent="0.35">
      <c r="A17" s="43" t="s">
        <v>33</v>
      </c>
      <c r="B17" s="39" t="s">
        <v>40</v>
      </c>
      <c r="C17" s="37" t="s">
        <v>10</v>
      </c>
      <c r="D17" s="22">
        <v>0.6</v>
      </c>
      <c r="E17" s="58"/>
    </row>
    <row r="18" spans="1:5" ht="16.2" thickBot="1" x14ac:dyDescent="0.35">
      <c r="A18" s="43" t="s">
        <v>43</v>
      </c>
      <c r="B18" s="39" t="s">
        <v>49</v>
      </c>
      <c r="C18" s="11" t="s">
        <v>3</v>
      </c>
      <c r="D18" s="23" t="e">
        <f>SUM(D2:D14)</f>
        <v>#N/A</v>
      </c>
      <c r="E18" s="58"/>
    </row>
    <row r="19" spans="1:5" x14ac:dyDescent="0.3">
      <c r="A19" s="43" t="s">
        <v>9</v>
      </c>
      <c r="B19" s="39" t="s">
        <v>87</v>
      </c>
      <c r="C19" s="12" t="s">
        <v>44</v>
      </c>
      <c r="D19" s="33">
        <v>0</v>
      </c>
      <c r="E19" s="58"/>
    </row>
    <row r="20" spans="1:5" x14ac:dyDescent="0.3">
      <c r="A20" s="43" t="s">
        <v>17</v>
      </c>
      <c r="B20" s="39" t="s">
        <v>18</v>
      </c>
      <c r="C20" s="12" t="s">
        <v>13</v>
      </c>
      <c r="D20" s="6">
        <v>0</v>
      </c>
      <c r="E20" s="58"/>
    </row>
    <row r="21" spans="1:5" ht="16.2" thickBot="1" x14ac:dyDescent="0.35">
      <c r="A21" s="43" t="s">
        <v>19</v>
      </c>
      <c r="B21" s="40">
        <f ca="1">NOW()</f>
        <v>46073.354740625</v>
      </c>
      <c r="C21" s="12" t="s">
        <v>11</v>
      </c>
      <c r="D21" s="7">
        <v>0</v>
      </c>
      <c r="E21" s="59"/>
    </row>
    <row r="22" spans="1:5" ht="16.2" thickBot="1" x14ac:dyDescent="0.35">
      <c r="A22" s="44" t="s">
        <v>20</v>
      </c>
      <c r="B22" s="41" t="e">
        <f>(pts_grandtotal/nb_points)</f>
        <v>#N/A</v>
      </c>
      <c r="C22" s="13" t="s">
        <v>4</v>
      </c>
      <c r="D22" s="4" t="e">
        <f>pts_soustotal-pts_respect-pts_retard-pts_francais</f>
        <v>#N/A</v>
      </c>
      <c r="E22" s="14" t="e">
        <f>"Note finale: "&amp;pts_grandtotal/nb_points*100&amp;"%"</f>
        <v>#N/A</v>
      </c>
    </row>
    <row r="23" spans="1:5" x14ac:dyDescent="0.3">
      <c r="D23" s="2"/>
    </row>
    <row r="24" spans="1:5" x14ac:dyDescent="0.3">
      <c r="D24" s="2"/>
    </row>
    <row r="25" spans="1:5" x14ac:dyDescent="0.3">
      <c r="D25" s="2"/>
    </row>
    <row r="26" spans="1:5" x14ac:dyDescent="0.3">
      <c r="D26" s="2"/>
    </row>
    <row r="27" spans="1:5" x14ac:dyDescent="0.3">
      <c r="D27" s="2"/>
    </row>
    <row r="29" spans="1:5" x14ac:dyDescent="0.3">
      <c r="D29" s="2"/>
    </row>
    <row r="30" spans="1:5" x14ac:dyDescent="0.3">
      <c r="D30" s="2"/>
    </row>
    <row r="31" spans="1:5" x14ac:dyDescent="0.3">
      <c r="D31" s="2"/>
    </row>
    <row r="32" spans="1:5" x14ac:dyDescent="0.3">
      <c r="D32" s="2"/>
    </row>
    <row r="33" spans="4:4" x14ac:dyDescent="0.3">
      <c r="D33" s="2"/>
    </row>
    <row r="34" spans="4:4" x14ac:dyDescent="0.3">
      <c r="D34" s="2"/>
    </row>
    <row r="35" spans="4:4" x14ac:dyDescent="0.3">
      <c r="D35" s="2"/>
    </row>
  </sheetData>
  <mergeCells count="1">
    <mergeCell ref="E16:E21"/>
  </mergeCells>
  <phoneticPr fontId="3" type="noConversion"/>
  <dataValidations disablePrompts="1" count="1">
    <dataValidation type="list" allowBlank="1" showInputMessage="1" showErrorMessage="1" sqref="B20" xr:uid="{00000000-0002-0000-0000-000000000000}">
      <formula1>"Sommative,Formative,Autoévaluation"</formula1>
    </dataValidation>
  </dataValidations>
  <pageMargins left="0.7" right="0.7" top="0.75" bottom="0.75" header="0.3" footer="0.3"/>
  <pageSetup orientation="portrait" horizontalDpi="0" verticalDpi="0" r:id="rId1"/>
  <headerFooter>
    <oddHeader>&amp;CGrille d'évaluation</oddHead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EFEDCE7D-3326-41DC-8F0F-F9E5C3EC8391}">
            <x14:iconSet showValue="0" custom="1">
              <x14:cfvo type="percent">
                <xm:f>0</xm:f>
              </x14:cfvo>
              <x14:cfvo type="num">
                <xm:f>seuil_reussite</xm:f>
              </x14:cfvo>
              <x14:cfvo type="num">
                <xm:f>seuil_excellence</xm:f>
              </x14:cfvo>
              <x14:cfIcon iconSet="3TrafficLights1" iconId="0"/>
              <x14:cfIcon iconSet="3TrafficLights1" iconId="1"/>
              <x14:cfIcon iconSet="3TrafficLights1" iconId="2"/>
            </x14:iconSet>
          </x14:cfRule>
          <xm:sqref>B22</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D5DC135D-286A-4FA3-8A8E-63E544954E54}">
          <x14:formula1>
            <xm:f>echelles!$A$2:$A$5</xm:f>
          </x14:formula1>
          <xm:sqref>C2:C6 C10:C14</xm:sqref>
        </x14:dataValidation>
        <x14:dataValidation type="list" allowBlank="1" showInputMessage="1" showErrorMessage="1" xr:uid="{00000000-0002-0000-0000-000002000000}">
          <x14:formula1>
            <xm:f>etudiants!$A$2:$A$23</xm:f>
          </x14:formula1>
          <xm:sqref>B15</xm:sqref>
        </x14:dataValidation>
        <x14:dataValidation type="list" allowBlank="1" showInputMessage="1" showErrorMessage="1" xr:uid="{BBD162F3-9664-458E-A06D-B5D97746501A}">
          <x14:formula1>
            <xm:f>echelles!$A$8:$A$13</xm:f>
          </x14:formula1>
          <xm:sqref>C7:C9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83ED-D24C-4788-8587-4E37143D3C69}">
  <dimension ref="A1:E37"/>
  <sheetViews>
    <sheetView tabSelected="1" showRuler="0" zoomScaleNormal="100" workbookViewId="0">
      <pane ySplit="1" topLeftCell="A2" activePane="bottomLeft" state="frozen"/>
      <selection pane="bottomLeft" activeCell="B17" sqref="B17"/>
    </sheetView>
  </sheetViews>
  <sheetFormatPr defaultColWidth="11" defaultRowHeight="15.6" x14ac:dyDescent="0.3"/>
  <cols>
    <col min="1" max="1" width="44.3984375" style="2" customWidth="1"/>
    <col min="2" max="2" width="66.3984375" style="2" customWidth="1"/>
    <col min="3" max="3" width="30.5" style="2" customWidth="1"/>
    <col min="4" max="4" width="8.5" style="1" customWidth="1"/>
    <col min="5" max="5" width="35.09765625" style="2" customWidth="1"/>
    <col min="6" max="16384" width="11" style="2"/>
  </cols>
  <sheetData>
    <row r="1" spans="1:5" s="1" customFormat="1" ht="20.399999999999999" thickBot="1" x14ac:dyDescent="0.35">
      <c r="A1" s="8" t="s">
        <v>21</v>
      </c>
      <c r="B1" s="31" t="s">
        <v>0</v>
      </c>
      <c r="C1" s="32" t="s">
        <v>34</v>
      </c>
      <c r="D1" s="8" t="s">
        <v>1</v>
      </c>
      <c r="E1" s="9" t="s">
        <v>2</v>
      </c>
    </row>
    <row r="2" spans="1:5" ht="20.25" customHeight="1" thickBot="1" x14ac:dyDescent="0.35">
      <c r="A2" s="49" t="s">
        <v>89</v>
      </c>
      <c r="B2" s="49" t="s">
        <v>90</v>
      </c>
      <c r="C2" s="48" t="s">
        <v>37</v>
      </c>
      <c r="D2" s="45">
        <f>VLOOKUP(C2,echelles!$A$8:$B$13,2,FALSE)</f>
        <v>5</v>
      </c>
      <c r="E2" s="20"/>
    </row>
    <row r="3" spans="1:5" ht="20.25" customHeight="1" thickBot="1" x14ac:dyDescent="0.35">
      <c r="A3" s="46" t="s">
        <v>93</v>
      </c>
      <c r="B3" s="47" t="s">
        <v>91</v>
      </c>
      <c r="C3" s="48"/>
      <c r="D3" s="45" t="e">
        <f>VLOOKUP(C3,echelles!$A$8:$B$13,2,FALSE)</f>
        <v>#N/A</v>
      </c>
      <c r="E3" s="51"/>
    </row>
    <row r="4" spans="1:5" ht="18" customHeight="1" thickBot="1" x14ac:dyDescent="0.35">
      <c r="A4" s="24" t="s">
        <v>92</v>
      </c>
      <c r="B4" s="24" t="s">
        <v>94</v>
      </c>
      <c r="C4" s="27"/>
      <c r="D4" s="26" t="e">
        <f>VLOOKUP(C4,echelles!$A$2:$B$5,2,FALSE)</f>
        <v>#N/A</v>
      </c>
      <c r="E4" s="20"/>
    </row>
    <row r="5" spans="1:5" ht="18" customHeight="1" thickBot="1" x14ac:dyDescent="0.35">
      <c r="A5" s="25"/>
      <c r="B5" s="30" t="s">
        <v>95</v>
      </c>
      <c r="C5" s="28"/>
      <c r="D5" s="26" t="e">
        <f>VLOOKUP(C5,echelles!$A$2:$B$5,2,FALSE)</f>
        <v>#N/A</v>
      </c>
      <c r="E5" s="10"/>
    </row>
    <row r="6" spans="1:5" ht="18" customHeight="1" thickBot="1" x14ac:dyDescent="0.35">
      <c r="A6" s="25"/>
      <c r="B6" s="30" t="s">
        <v>45</v>
      </c>
      <c r="C6" s="28"/>
      <c r="D6" s="26" t="e">
        <f>VLOOKUP(C6,echelles!$A$2:$B$5,2,FALSE)</f>
        <v>#N/A</v>
      </c>
      <c r="E6" s="10"/>
    </row>
    <row r="7" spans="1:5" ht="18" customHeight="1" thickBot="1" x14ac:dyDescent="0.35">
      <c r="A7" s="25"/>
      <c r="B7" s="30" t="s">
        <v>96</v>
      </c>
      <c r="C7" s="28"/>
      <c r="D7" s="26" t="e">
        <f>VLOOKUP(C7,echelles!$A$2:$B$5,2,FALSE)</f>
        <v>#N/A</v>
      </c>
      <c r="E7" s="10"/>
    </row>
    <row r="8" spans="1:5" ht="18" customHeight="1" thickBot="1" x14ac:dyDescent="0.35">
      <c r="A8" s="25"/>
      <c r="B8" s="30" t="s">
        <v>97</v>
      </c>
      <c r="C8" s="29"/>
      <c r="D8" s="26" t="e">
        <f>VLOOKUP(C8,echelles!$A$2:$B$5,2,FALSE)</f>
        <v>#N/A</v>
      </c>
      <c r="E8" s="10"/>
    </row>
    <row r="9" spans="1:5" ht="20.25" customHeight="1" thickBot="1" x14ac:dyDescent="0.35">
      <c r="A9" s="50" t="s">
        <v>98</v>
      </c>
      <c r="B9" s="49" t="s">
        <v>108</v>
      </c>
      <c r="C9" s="27"/>
      <c r="D9" s="45" t="e">
        <f>VLOOKUP(C9,echelles!$A$8:$B$13,2,FALSE)</f>
        <v>#N/A</v>
      </c>
      <c r="E9" s="10"/>
    </row>
    <row r="10" spans="1:5" ht="16.2" thickBot="1" x14ac:dyDescent="0.35">
      <c r="A10" s="24" t="s">
        <v>99</v>
      </c>
      <c r="B10" s="24" t="s">
        <v>100</v>
      </c>
      <c r="C10" s="27"/>
      <c r="D10" s="26" t="e">
        <f>VLOOKUP(C10,echelles!$A$2:$B$5,2,FALSE)</f>
        <v>#N/A</v>
      </c>
      <c r="E10" s="10"/>
    </row>
    <row r="11" spans="1:5" ht="16.2" thickBot="1" x14ac:dyDescent="0.35">
      <c r="A11" s="46"/>
      <c r="B11" s="30" t="s">
        <v>101</v>
      </c>
      <c r="C11" s="28"/>
      <c r="D11" s="26" t="e">
        <f>VLOOKUP(C11,echelles!$A$2:$B$5,2,FALSE)</f>
        <v>#N/A</v>
      </c>
      <c r="E11" s="10"/>
    </row>
    <row r="12" spans="1:5" ht="16.2" thickBot="1" x14ac:dyDescent="0.35">
      <c r="A12" s="46"/>
      <c r="B12" s="30" t="s">
        <v>102</v>
      </c>
      <c r="C12" s="28"/>
      <c r="D12" s="26" t="e">
        <f>VLOOKUP(C12,echelles!$A$2:$B$5,2,FALSE)</f>
        <v>#N/A</v>
      </c>
      <c r="E12" s="10"/>
    </row>
    <row r="13" spans="1:5" ht="16.2" thickBot="1" x14ac:dyDescent="0.35">
      <c r="A13" s="46"/>
      <c r="B13" s="30" t="s">
        <v>103</v>
      </c>
      <c r="C13" s="28"/>
      <c r="D13" s="26" t="e">
        <f>VLOOKUP(C13,echelles!$A$2:$B$5,2,FALSE)</f>
        <v>#N/A</v>
      </c>
      <c r="E13" s="10"/>
    </row>
    <row r="14" spans="1:5" ht="16.2" thickBot="1" x14ac:dyDescent="0.35">
      <c r="A14" s="34"/>
      <c r="B14" s="30" t="s">
        <v>104</v>
      </c>
      <c r="C14" s="28"/>
      <c r="D14" s="26" t="e">
        <f>VLOOKUP(C14,echelles!$A$2:$B$5,2,FALSE)</f>
        <v>#N/A</v>
      </c>
      <c r="E14" s="10"/>
    </row>
    <row r="15" spans="1:5" ht="20.25" customHeight="1" thickBot="1" x14ac:dyDescent="0.35">
      <c r="A15" s="46" t="s">
        <v>105</v>
      </c>
      <c r="B15" s="52" t="s">
        <v>106</v>
      </c>
      <c r="C15" s="48"/>
      <c r="D15" s="45" t="e">
        <f>VLOOKUP(C15,echelles!$A$8:$B$13,2,FALSE)</f>
        <v>#N/A</v>
      </c>
      <c r="E15" s="51"/>
    </row>
    <row r="16" spans="1:5" ht="20.25" customHeight="1" thickBot="1" x14ac:dyDescent="0.35">
      <c r="A16" s="53"/>
      <c r="B16" s="54" t="s">
        <v>107</v>
      </c>
      <c r="C16" s="55"/>
      <c r="D16" s="56" t="e">
        <f>VLOOKUP(C16,echelles!$A$8:$B$13,2,FALSE)</f>
        <v>#N/A</v>
      </c>
      <c r="E16" s="54"/>
    </row>
    <row r="17" spans="1:5" ht="16.2" thickBot="1" x14ac:dyDescent="0.35">
      <c r="A17" s="42" t="s">
        <v>6</v>
      </c>
      <c r="B17" s="26" t="s">
        <v>63</v>
      </c>
      <c r="C17" s="13" t="s">
        <v>14</v>
      </c>
      <c r="D17" s="5">
        <v>55</v>
      </c>
      <c r="E17" s="35" t="s">
        <v>5</v>
      </c>
    </row>
    <row r="18" spans="1:5" ht="16.2" thickBot="1" x14ac:dyDescent="0.35">
      <c r="A18" s="43" t="s">
        <v>7</v>
      </c>
      <c r="B18" s="38" t="s">
        <v>8</v>
      </c>
      <c r="C18" s="36" t="s">
        <v>12</v>
      </c>
      <c r="D18" s="21">
        <v>0.9</v>
      </c>
      <c r="E18" s="57"/>
    </row>
    <row r="19" spans="1:5" ht="16.2" thickBot="1" x14ac:dyDescent="0.35">
      <c r="A19" s="43" t="s">
        <v>33</v>
      </c>
      <c r="B19" s="39" t="s">
        <v>40</v>
      </c>
      <c r="C19" s="37" t="s">
        <v>10</v>
      </c>
      <c r="D19" s="22">
        <v>0.6</v>
      </c>
      <c r="E19" s="58"/>
    </row>
    <row r="20" spans="1:5" ht="16.2" thickBot="1" x14ac:dyDescent="0.35">
      <c r="A20" s="43" t="s">
        <v>43</v>
      </c>
      <c r="B20" s="39" t="s">
        <v>49</v>
      </c>
      <c r="C20" s="11" t="s">
        <v>3</v>
      </c>
      <c r="D20" s="23" t="e">
        <f>SUM(D2:D16)</f>
        <v>#N/A</v>
      </c>
      <c r="E20" s="58"/>
    </row>
    <row r="21" spans="1:5" x14ac:dyDescent="0.3">
      <c r="A21" s="43" t="s">
        <v>9</v>
      </c>
      <c r="B21" s="39" t="s">
        <v>88</v>
      </c>
      <c r="C21" s="12" t="s">
        <v>44</v>
      </c>
      <c r="D21" s="33">
        <v>0</v>
      </c>
      <c r="E21" s="58"/>
    </row>
    <row r="22" spans="1:5" x14ac:dyDescent="0.3">
      <c r="A22" s="43" t="s">
        <v>17</v>
      </c>
      <c r="B22" s="39" t="s">
        <v>18</v>
      </c>
      <c r="C22" s="12" t="s">
        <v>13</v>
      </c>
      <c r="D22" s="6">
        <v>0</v>
      </c>
      <c r="E22" s="58"/>
    </row>
    <row r="23" spans="1:5" ht="16.2" thickBot="1" x14ac:dyDescent="0.35">
      <c r="A23" s="43" t="s">
        <v>19</v>
      </c>
      <c r="B23" s="40">
        <f ca="1">NOW()</f>
        <v>46073.354740625</v>
      </c>
      <c r="C23" s="12" t="s">
        <v>11</v>
      </c>
      <c r="D23" s="7">
        <v>0</v>
      </c>
      <c r="E23" s="59"/>
    </row>
    <row r="24" spans="1:5" ht="16.2" thickBot="1" x14ac:dyDescent="0.35">
      <c r="A24" s="44" t="s">
        <v>20</v>
      </c>
      <c r="B24" s="41" t="e">
        <f>(pts_grandtotal/nb_points)</f>
        <v>#N/A</v>
      </c>
      <c r="C24" s="13" t="s">
        <v>4</v>
      </c>
      <c r="D24" s="4" t="e">
        <f>pts_soustotal-pts_respect-pts_retard-pts_francais</f>
        <v>#N/A</v>
      </c>
      <c r="E24" s="14" t="e">
        <f>"Note finale: "&amp;pts_grandtotal/nb_points*100&amp;"%"</f>
        <v>#N/A</v>
      </c>
    </row>
    <row r="25" spans="1:5" x14ac:dyDescent="0.3">
      <c r="D25" s="2"/>
    </row>
    <row r="26" spans="1:5" x14ac:dyDescent="0.3">
      <c r="D26" s="2"/>
    </row>
    <row r="27" spans="1:5" x14ac:dyDescent="0.3">
      <c r="D27" s="2"/>
    </row>
    <row r="28" spans="1:5" x14ac:dyDescent="0.3">
      <c r="D28" s="2"/>
    </row>
    <row r="29" spans="1:5" x14ac:dyDescent="0.3">
      <c r="D29" s="2"/>
    </row>
    <row r="31" spans="1:5" x14ac:dyDescent="0.3">
      <c r="D31" s="2"/>
    </row>
    <row r="32" spans="1:5" x14ac:dyDescent="0.3">
      <c r="D32" s="2"/>
    </row>
    <row r="33" spans="4:4" x14ac:dyDescent="0.3">
      <c r="D33" s="2"/>
    </row>
    <row r="34" spans="4:4" x14ac:dyDescent="0.3">
      <c r="D34" s="2"/>
    </row>
    <row r="35" spans="4:4" x14ac:dyDescent="0.3">
      <c r="D35" s="2"/>
    </row>
    <row r="36" spans="4:4" x14ac:dyDescent="0.3">
      <c r="D36" s="2"/>
    </row>
    <row r="37" spans="4:4" x14ac:dyDescent="0.3">
      <c r="D37" s="2"/>
    </row>
  </sheetData>
  <mergeCells count="1">
    <mergeCell ref="E18:E23"/>
  </mergeCells>
  <dataValidations count="1">
    <dataValidation type="list" allowBlank="1" showInputMessage="1" showErrorMessage="1" sqref="B22" xr:uid="{7C28A21D-35BA-4C9A-A3B8-A56FF534811A}">
      <formula1>"Sommative,Formative,Autoévaluation"</formula1>
    </dataValidation>
  </dataValidations>
  <pageMargins left="0.7" right="0.7" top="0.75" bottom="0.75" header="0.3" footer="0.3"/>
  <pageSetup orientation="portrait" horizontalDpi="0" verticalDpi="0" r:id="rId1"/>
  <headerFooter>
    <oddHeader>&amp;CGrille d'évaluation</oddHead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DC1C8F84-C859-423D-A294-2A754CE59360}">
            <x14:iconSet showValue="0" custom="1">
              <x14:cfvo type="percent">
                <xm:f>0</xm:f>
              </x14:cfvo>
              <x14:cfvo type="num">
                <xm:f>seuil_reussite</xm:f>
              </x14:cfvo>
              <x14:cfvo type="num">
                <xm:f>seuil_excellence</xm:f>
              </x14:cfvo>
              <x14:cfIcon iconSet="3TrafficLights1" iconId="0"/>
              <x14:cfIcon iconSet="3TrafficLights1" iconId="1"/>
              <x14:cfIcon iconSet="3TrafficLights1" iconId="2"/>
            </x14:iconSet>
          </x14:cfRule>
          <xm:sqref>B24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D576B33-DE88-41CD-8476-3CB318B29FA7}">
          <x14:formula1>
            <xm:f>etudiants!$A$2:$A$23</xm:f>
          </x14:formula1>
          <xm:sqref>B17</xm:sqref>
        </x14:dataValidation>
        <x14:dataValidation type="list" allowBlank="1" showInputMessage="1" showErrorMessage="1" xr:uid="{9CDF1706-D963-44EE-B89E-2265DD24D263}">
          <x14:formula1>
            <xm:f>echelles!$A$2:$A$5</xm:f>
          </x14:formula1>
          <xm:sqref>C4:C8 C10:C14</xm:sqref>
        </x14:dataValidation>
        <x14:dataValidation type="list" allowBlank="1" showInputMessage="1" showErrorMessage="1" xr:uid="{44D311C9-C266-4A92-B267-AB16F8E6FD70}">
          <x14:formula1>
            <xm:f>echelles!$A$8:$A$13</xm:f>
          </x14:formula1>
          <xm:sqref>C2:C3 C9 C15:C16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15" sqref="A15:XFD21"/>
    </sheetView>
  </sheetViews>
  <sheetFormatPr defaultColWidth="11.19921875" defaultRowHeight="15.6" x14ac:dyDescent="0.3"/>
  <cols>
    <col min="1" max="1" width="50.09765625" customWidth="1"/>
    <col min="2" max="2" width="10.59765625" customWidth="1"/>
    <col min="3" max="3" width="11.09765625" customWidth="1"/>
  </cols>
  <sheetData>
    <row r="1" spans="1:2" x14ac:dyDescent="0.3">
      <c r="A1" t="s">
        <v>15</v>
      </c>
      <c r="B1" s="3" t="s">
        <v>16</v>
      </c>
    </row>
    <row r="2" spans="1:2" x14ac:dyDescent="0.3">
      <c r="A2" s="15" t="s">
        <v>46</v>
      </c>
      <c r="B2" s="3">
        <v>0</v>
      </c>
    </row>
    <row r="3" spans="1:2" x14ac:dyDescent="0.3">
      <c r="A3" t="s">
        <v>35</v>
      </c>
      <c r="B3" s="3">
        <v>1</v>
      </c>
    </row>
    <row r="4" spans="1:2" x14ac:dyDescent="0.3">
      <c r="A4" t="s">
        <v>36</v>
      </c>
      <c r="B4" s="3">
        <v>2</v>
      </c>
    </row>
    <row r="5" spans="1:2" x14ac:dyDescent="0.3">
      <c r="A5" t="s">
        <v>37</v>
      </c>
      <c r="B5" s="1">
        <v>3</v>
      </c>
    </row>
    <row r="7" spans="1:2" x14ac:dyDescent="0.3">
      <c r="A7" t="s">
        <v>15</v>
      </c>
      <c r="B7" s="3" t="s">
        <v>16</v>
      </c>
    </row>
    <row r="8" spans="1:2" x14ac:dyDescent="0.3">
      <c r="A8" s="15" t="s">
        <v>41</v>
      </c>
      <c r="B8" s="3">
        <v>0</v>
      </c>
    </row>
    <row r="9" spans="1:2" x14ac:dyDescent="0.3">
      <c r="A9" t="s">
        <v>42</v>
      </c>
      <c r="B9" s="3">
        <v>1</v>
      </c>
    </row>
    <row r="10" spans="1:2" x14ac:dyDescent="0.3">
      <c r="A10" t="s">
        <v>38</v>
      </c>
      <c r="B10" s="3">
        <v>2</v>
      </c>
    </row>
    <row r="11" spans="1:2" x14ac:dyDescent="0.3">
      <c r="A11" t="s">
        <v>35</v>
      </c>
      <c r="B11" s="3">
        <v>3</v>
      </c>
    </row>
    <row r="12" spans="1:2" x14ac:dyDescent="0.3">
      <c r="A12" t="s">
        <v>36</v>
      </c>
      <c r="B12" s="3">
        <v>4</v>
      </c>
    </row>
    <row r="13" spans="1:2" x14ac:dyDescent="0.3">
      <c r="A13" t="s">
        <v>37</v>
      </c>
      <c r="B13" s="1">
        <v>5</v>
      </c>
    </row>
  </sheetData>
  <phoneticPr fontId="3"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3"/>
  <sheetViews>
    <sheetView topLeftCell="A12" workbookViewId="0">
      <selection activeCell="C19" sqref="C19"/>
    </sheetView>
  </sheetViews>
  <sheetFormatPr defaultColWidth="11.19921875" defaultRowHeight="15.6" x14ac:dyDescent="0.3"/>
  <cols>
    <col min="1" max="1" width="39.5" customWidth="1"/>
  </cols>
  <sheetData>
    <row r="1" spans="1:1" x14ac:dyDescent="0.3">
      <c r="A1" t="s">
        <v>6</v>
      </c>
    </row>
    <row r="2" spans="1:1" x14ac:dyDescent="0.3">
      <c r="A2" t="s">
        <v>39</v>
      </c>
    </row>
    <row r="3" spans="1:1" x14ac:dyDescent="0.3">
      <c r="A3" t="s">
        <v>50</v>
      </c>
    </row>
    <row r="4" spans="1:1" x14ac:dyDescent="0.3">
      <c r="A4" t="s">
        <v>51</v>
      </c>
    </row>
    <row r="5" spans="1:1" x14ac:dyDescent="0.3">
      <c r="A5" t="s">
        <v>52</v>
      </c>
    </row>
    <row r="6" spans="1:1" x14ac:dyDescent="0.3">
      <c r="A6" t="s">
        <v>53</v>
      </c>
    </row>
    <row r="7" spans="1:1" x14ac:dyDescent="0.3">
      <c r="A7" t="s">
        <v>54</v>
      </c>
    </row>
    <row r="8" spans="1:1" x14ac:dyDescent="0.3">
      <c r="A8" t="s">
        <v>55</v>
      </c>
    </row>
    <row r="9" spans="1:1" x14ac:dyDescent="0.3">
      <c r="A9" t="s">
        <v>56</v>
      </c>
    </row>
    <row r="10" spans="1:1" x14ac:dyDescent="0.3">
      <c r="A10" t="s">
        <v>57</v>
      </c>
    </row>
    <row r="11" spans="1:1" x14ac:dyDescent="0.3">
      <c r="A11" t="s">
        <v>58</v>
      </c>
    </row>
    <row r="12" spans="1:1" x14ac:dyDescent="0.3">
      <c r="A12" t="s">
        <v>59</v>
      </c>
    </row>
    <row r="13" spans="1:1" x14ac:dyDescent="0.3">
      <c r="A13" t="s">
        <v>60</v>
      </c>
    </row>
    <row r="14" spans="1:1" x14ac:dyDescent="0.3">
      <c r="A14" t="s">
        <v>61</v>
      </c>
    </row>
    <row r="15" spans="1:1" x14ac:dyDescent="0.3">
      <c r="A15" t="s">
        <v>62</v>
      </c>
    </row>
    <row r="16" spans="1:1" x14ac:dyDescent="0.3">
      <c r="A16" t="s">
        <v>63</v>
      </c>
    </row>
    <row r="17" spans="1:1" x14ac:dyDescent="0.3">
      <c r="A17" t="s">
        <v>47</v>
      </c>
    </row>
    <row r="18" spans="1:1" x14ac:dyDescent="0.3">
      <c r="A18" t="s">
        <v>64</v>
      </c>
    </row>
    <row r="19" spans="1:1" x14ac:dyDescent="0.3">
      <c r="A19" t="s">
        <v>65</v>
      </c>
    </row>
    <row r="20" spans="1:1" x14ac:dyDescent="0.3">
      <c r="A20" t="s">
        <v>66</v>
      </c>
    </row>
    <row r="21" spans="1:1" x14ac:dyDescent="0.3">
      <c r="A21" t="s">
        <v>48</v>
      </c>
    </row>
    <row r="22" spans="1:1" x14ac:dyDescent="0.3">
      <c r="A22" t="s">
        <v>67</v>
      </c>
    </row>
    <row r="23" spans="1:1" x14ac:dyDescent="0.3">
      <c r="A23" t="s">
        <v>68</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B6" sqref="B6"/>
    </sheetView>
  </sheetViews>
  <sheetFormatPr defaultColWidth="11.09765625" defaultRowHeight="15.6" x14ac:dyDescent="0.3"/>
  <cols>
    <col min="1" max="1" width="30.09765625" style="16" customWidth="1"/>
    <col min="2" max="2" width="140.59765625" style="16" customWidth="1"/>
    <col min="3" max="16384" width="11.09765625" style="16"/>
  </cols>
  <sheetData>
    <row r="1" spans="1:2" x14ac:dyDescent="0.3">
      <c r="A1" s="18" t="s">
        <v>26</v>
      </c>
      <c r="B1" s="18" t="s">
        <v>25</v>
      </c>
    </row>
    <row r="2" spans="1:2" ht="31.2" x14ac:dyDescent="0.3">
      <c r="A2" s="19" t="s">
        <v>23</v>
      </c>
      <c r="B2" s="17" t="s">
        <v>24</v>
      </c>
    </row>
    <row r="3" spans="1:2" ht="31.2" x14ac:dyDescent="0.3">
      <c r="A3" s="19" t="s">
        <v>22</v>
      </c>
      <c r="B3" s="17" t="s">
        <v>29</v>
      </c>
    </row>
    <row r="4" spans="1:2" ht="46.8" x14ac:dyDescent="0.3">
      <c r="A4" s="19" t="s">
        <v>0</v>
      </c>
      <c r="B4" s="15" t="s">
        <v>30</v>
      </c>
    </row>
    <row r="5" spans="1:2" x14ac:dyDescent="0.3">
      <c r="A5" s="19" t="s">
        <v>32</v>
      </c>
      <c r="B5" s="15" t="s">
        <v>31</v>
      </c>
    </row>
    <row r="6" spans="1:2" ht="31.2" x14ac:dyDescent="0.3">
      <c r="A6" s="19" t="s">
        <v>28</v>
      </c>
      <c r="B6" s="17" t="s">
        <v>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AF33DF-ED31-44C9-8FE4-B8CF148721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38</vt:i4>
      </vt:variant>
    </vt:vector>
  </HeadingPairs>
  <TitlesOfParts>
    <vt:vector size="43" baseType="lpstr">
      <vt:lpstr>grille_evaluation_V1</vt:lpstr>
      <vt:lpstr>grille_evaluation_V2</vt:lpstr>
      <vt:lpstr>echelles</vt:lpstr>
      <vt:lpstr>etudiants</vt:lpstr>
      <vt:lpstr>definitions</vt:lpstr>
      <vt:lpstr>grille_evaluation_V2!date_evaluation</vt:lpstr>
      <vt:lpstr>date_evaluation</vt:lpstr>
      <vt:lpstr>grille_evaluation_V2!nb_points</vt:lpstr>
      <vt:lpstr>nb_points</vt:lpstr>
      <vt:lpstr>grille_evaluation_V2!niveau_reussite</vt:lpstr>
      <vt:lpstr>niveau_reussite</vt:lpstr>
      <vt:lpstr>grille_evaluation_V2!nom_enseignant</vt:lpstr>
      <vt:lpstr>nom_enseignant</vt:lpstr>
      <vt:lpstr>grille_evaluation_V2!nom_etudiant</vt:lpstr>
      <vt:lpstr>nom_etudiant</vt:lpstr>
      <vt:lpstr>grille_evaluation_V2!nom_evaluation</vt:lpstr>
      <vt:lpstr>nom_evaluation</vt:lpstr>
      <vt:lpstr>grille_evaluation_V2!note_finale</vt:lpstr>
      <vt:lpstr>note_finale</vt:lpstr>
      <vt:lpstr>grille_evaluation_V2!pts_francais</vt:lpstr>
      <vt:lpstr>pts_francais</vt:lpstr>
      <vt:lpstr>grille_evaluation_V2!pts_grandtotal</vt:lpstr>
      <vt:lpstr>pts_grandtotal</vt:lpstr>
      <vt:lpstr>grille_evaluation_V2!pts_maximum</vt:lpstr>
      <vt:lpstr>pts_maximum</vt:lpstr>
      <vt:lpstr>grille_evaluation_V2!pts_respect</vt:lpstr>
      <vt:lpstr>pts_respect</vt:lpstr>
      <vt:lpstr>grille_evaluation_V2!pts_retard</vt:lpstr>
      <vt:lpstr>pts_retard</vt:lpstr>
      <vt:lpstr>grille_evaluation_V2!pts_soustotal</vt:lpstr>
      <vt:lpstr>pts_soustotal</vt:lpstr>
      <vt:lpstr>grille_evaluation_V2!reussite</vt:lpstr>
      <vt:lpstr>reussite</vt:lpstr>
      <vt:lpstr>grille_evaluation_V2!seuil</vt:lpstr>
      <vt:lpstr>seuil</vt:lpstr>
      <vt:lpstr>grille_evaluation_V2!seuil_excellence</vt:lpstr>
      <vt:lpstr>seuil_excellence</vt:lpstr>
      <vt:lpstr>grille_evaluation_V2!seuil_reussite</vt:lpstr>
      <vt:lpstr>seuil_reussite</vt:lpstr>
      <vt:lpstr>grille_evaluation_V2!titre_cours</vt:lpstr>
      <vt:lpstr>titre_cours</vt:lpstr>
      <vt:lpstr>grille_evaluation_V2!type_evaluation</vt:lpstr>
      <vt:lpstr>type_evaluation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Utilisateur de Microsoft Office</dc:creator>
  <cp:keywords/>
  <dc:description/>
  <cp:lastModifiedBy>Xavier Lepage</cp:lastModifiedBy>
  <cp:revision/>
  <dcterms:created xsi:type="dcterms:W3CDTF">2017-05-23T14:57:00Z</dcterms:created>
  <dcterms:modified xsi:type="dcterms:W3CDTF">2026-02-20T13:30:50Z</dcterms:modified>
  <cp:category/>
  <cp:contentStatus/>
</cp:coreProperties>
</file>